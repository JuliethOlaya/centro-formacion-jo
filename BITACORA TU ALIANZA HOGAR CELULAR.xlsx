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workbookProtection lockStructure="0" workbookAlgorithmName="SHA-512" workbookHashValue="PA7894gYQFv/9SkVmFxx41JmTL/ABqJSD+v41upfP7ex6fTUr4A7yh7lbfD0I2RiJYpvENck6hItQq4unAqWVg==" workbookSaltValue="2MUoiORZ2rUBoXj7WOz2vA==" workbookSpinCount="100000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itácora" sheetId="1" state="visible" r:id="rId1"/>
    <sheet xmlns:r="http://schemas.openxmlformats.org/officeDocument/2006/relationships" name="Base de Datos" sheetId="2" state="hidden" r:id="rId2"/>
  </sheets>
  <definedNames/>
  <calcPr calcId="18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&quot;$&quot;\ #,##0;[Red]\-&quot;$&quot;\ #,##0"/>
    <numFmt numFmtId="165" formatCode="&quot;$&quot;\ #,##0"/>
    <numFmt numFmtId="166" formatCode="$#,##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FFCC0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b val="1"/>
      <color theme="2" tint="-0.499984740745262"/>
      <sz val="11"/>
      <scheme val="minor"/>
    </font>
    <font>
      <name val="Calibri"/>
      <family val="2"/>
      <b val="1"/>
      <color rgb="FF00204F"/>
      <sz val="11"/>
      <scheme val="minor"/>
    </font>
    <font>
      <name val="Calibri"/>
      <family val="2"/>
      <b val="1"/>
      <color rgb="FFFFFF00"/>
      <sz val="11"/>
      <scheme val="minor"/>
    </font>
    <font>
      <name val="Aptos"/>
      <family val="2"/>
      <b val="1"/>
      <i val="1"/>
      <color rgb="FF000000"/>
      <sz val="16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9" fontId="1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9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0" fillId="0" borderId="1" applyProtection="1" pivotButton="0" quotePrefix="0" xfId="0">
      <protection locked="0" hidden="0"/>
    </xf>
    <xf numFmtId="0" fontId="0" fillId="0" borderId="1" applyAlignment="1" applyProtection="1" pivotButton="0" quotePrefix="0" xfId="0">
      <alignment vertical="center"/>
      <protection locked="0" hidden="0"/>
    </xf>
    <xf numFmtId="0" fontId="0" fillId="0" borderId="9" applyAlignment="1" applyProtection="1" pivotButton="0" quotePrefix="0" xfId="0">
      <alignment vertical="center"/>
      <protection locked="0" hidden="0"/>
    </xf>
    <xf numFmtId="164" fontId="1" fillId="0" borderId="1" applyAlignment="1" pivotButton="0" quotePrefix="0" xfId="0">
      <alignment horizontal="center" vertical="center"/>
    </xf>
    <xf numFmtId="14" fontId="0" fillId="0" borderId="1" applyAlignment="1" applyProtection="1" pivotButton="0" quotePrefix="0" xfId="0">
      <alignment horizontal="center" vertic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164" fontId="0" fillId="0" borderId="1" applyAlignment="1" applyProtection="1" pivotButton="0" quotePrefix="0" xfId="0">
      <alignment horizontal="center" vertical="center"/>
      <protection locked="0" hidden="0"/>
    </xf>
    <xf numFmtId="0" fontId="0" fillId="0" borderId="6" applyAlignment="1" applyProtection="1" pivotButton="0" quotePrefix="0" xfId="0">
      <alignment vertical="center"/>
      <protection locked="0" hidden="0"/>
    </xf>
    <xf numFmtId="0" fontId="0" fillId="0" borderId="8" applyAlignment="1" applyProtection="1" pivotButton="0" quotePrefix="0" xfId="0">
      <alignment vertical="center"/>
      <protection locked="0" hidden="0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 wrapText="1"/>
    </xf>
    <xf numFmtId="0" fontId="1" fillId="0" borderId="0" applyAlignment="1" applyProtection="1" pivotButton="0" quotePrefix="0" xfId="0">
      <alignment horizontal="center"/>
      <protection locked="0" hidden="0"/>
    </xf>
    <xf numFmtId="0" fontId="0" fillId="0" borderId="2" pivotButton="0" quotePrefix="0" xfId="0"/>
    <xf numFmtId="0" fontId="0" fillId="0" borderId="0" applyProtection="1" pivotButton="0" quotePrefix="0" xfId="0">
      <protection locked="0" hidden="0"/>
    </xf>
    <xf numFmtId="165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vertical="center"/>
    </xf>
    <xf numFmtId="164" fontId="0" fillId="0" borderId="1" applyAlignment="1" applyProtection="1" pivotButton="0" quotePrefix="0" xfId="0">
      <alignment horizontal="center" vertical="center"/>
      <protection locked="0" hidden="0"/>
    </xf>
    <xf numFmtId="164" fontId="1" fillId="0" borderId="1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166" fontId="0" fillId="0" borderId="0" applyProtection="1" pivotButton="0" quotePrefix="0" xfId="0">
      <protection locked="0" hidden="0"/>
    </xf>
    <xf numFmtId="166" fontId="0" fillId="0" borderId="0" applyAlignment="1" applyProtection="1" pivotButton="0" quotePrefix="0" xfId="0">
      <alignment horizontal="center"/>
      <protection locked="0" hidden="0"/>
    </xf>
    <xf numFmtId="166" fontId="0" fillId="0" borderId="0" applyAlignment="1" pivotButton="0" quotePrefix="0" xfId="0">
      <alignment horizontal="center"/>
    </xf>
  </cellXfs>
  <cellStyles count="1">
    <cellStyle name="Normal" xfId="0" builtinId="0"/>
  </cellStyles>
  <dxfs count="12">
    <dxf>
      <fill>
        <patternFill>
          <bgColor rgb="FFFA4040"/>
        </patternFill>
      </fill>
    </dxf>
    <dxf>
      <fill>
        <patternFill>
          <bgColor rgb="FFFFFF99"/>
        </patternFill>
      </fill>
    </dxf>
    <dxf>
      <fill>
        <patternFill>
          <bgColor rgb="FF8CE040"/>
        </patternFill>
      </fill>
    </dxf>
    <dxf>
      <fill>
        <patternFill>
          <bgColor rgb="FFFA4040"/>
        </patternFill>
      </fill>
    </dxf>
    <dxf>
      <fill>
        <patternFill>
          <bgColor rgb="FFFFFF99"/>
        </patternFill>
      </fill>
    </dxf>
    <dxf>
      <fill>
        <patternFill>
          <bgColor rgb="FF8CE040"/>
        </patternFill>
      </fill>
    </dxf>
    <dxf>
      <fill>
        <patternFill>
          <bgColor rgb="FFFA4040"/>
        </patternFill>
      </fill>
    </dxf>
    <dxf>
      <fill>
        <patternFill>
          <bgColor rgb="FFFFFF99"/>
        </patternFill>
      </fill>
    </dxf>
    <dxf>
      <fill>
        <patternFill>
          <bgColor rgb="FF8CE040"/>
        </patternFill>
      </fill>
    </dxf>
    <dxf>
      <fill>
        <patternFill>
          <bgColor rgb="FFFA4040"/>
        </patternFill>
      </fill>
    </dxf>
    <dxf>
      <fill>
        <patternFill>
          <bgColor rgb="FFFFFF99"/>
        </patternFill>
      </fill>
    </dxf>
    <dxf>
      <fill>
        <patternFill>
          <bgColor rgb="FF8CE04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R63"/>
  <sheetViews>
    <sheetView showGridLines="0" tabSelected="1" workbookViewId="0">
      <selection activeCell="A6" sqref="A6:J6"/>
    </sheetView>
  </sheetViews>
  <sheetFormatPr baseColWidth="10" defaultRowHeight="14.4"/>
  <cols>
    <col width="35.6640625" bestFit="1" customWidth="1" min="1" max="1"/>
    <col width="4.33203125" customWidth="1" min="2" max="2"/>
    <col width="3.77734375" customWidth="1" min="3" max="3"/>
    <col width="4.21875" customWidth="1" min="4" max="4"/>
    <col width="4.5546875" customWidth="1" min="5" max="5"/>
    <col width="3.5546875" customWidth="1" min="6" max="6"/>
    <col width="3.77734375" customWidth="1" min="7" max="7"/>
    <col width="4.21875" customWidth="1" min="8" max="8"/>
    <col width="12.88671875" bestFit="1" customWidth="1" min="10" max="10"/>
    <col width="9.6640625" customWidth="1" min="14" max="14"/>
    <col width="9.109375" customWidth="1" min="16" max="16"/>
    <col width="12.44140625" bestFit="1" customWidth="1" min="17" max="17"/>
  </cols>
  <sheetData>
    <row r="1" ht="12.6" customHeight="1">
      <c r="A1" s="33" t="inlineStr">
        <is>
          <t xml:space="preserve">📝BITÁCORA OFICIAL DE TRABAJO
Tu Alianza Hogar </t>
        </is>
      </c>
      <c r="M1" s="28" t="inlineStr">
        <is>
          <t xml:space="preserve">           💰CONTROL DE INGRESOS                       Tu Alianza Hogar</t>
        </is>
      </c>
    </row>
    <row r="2" ht="39" customHeight="1">
      <c r="A2" s="35" t="n"/>
    </row>
    <row r="3" ht="9" customHeight="1">
      <c r="A3" s="8" t="n"/>
      <c r="B3" s="8" t="n"/>
      <c r="C3" s="8" t="n"/>
      <c r="D3" s="8" t="n"/>
      <c r="E3" s="8" t="n"/>
      <c r="F3" s="8" t="n"/>
      <c r="G3" s="8" t="n"/>
      <c r="H3" s="8" t="n"/>
    </row>
    <row r="4">
      <c r="A4" s="34" t="inlineStr">
        <is>
          <t>👤Nombre: _____________________</t>
        </is>
      </c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M4" s="27" t="inlineStr">
        <is>
          <t>🎯 META DEL MES</t>
        </is>
      </c>
      <c r="Q4" s="44" t="n">
        <v>0</v>
      </c>
      <c r="R4" s="36" t="n"/>
    </row>
    <row r="5">
      <c r="B5" s="1" t="n"/>
      <c r="C5" s="1" t="n"/>
      <c r="E5" s="1" t="n"/>
      <c r="F5" s="1" t="n"/>
      <c r="G5" s="1" t="n"/>
      <c r="H5" s="1" t="n"/>
    </row>
    <row r="6">
      <c r="A6" s="34" t="inlineStr">
        <is>
          <t>📆Mes: ______________________</t>
        </is>
      </c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M6" s="27" t="inlineStr">
        <is>
          <t>💰 INGRESOS REGISTRADOS</t>
        </is>
      </c>
      <c r="Q6" s="45">
        <f>SUM(R15:R45)</f>
        <v/>
      </c>
    </row>
    <row r="7">
      <c r="A7" s="2" t="n"/>
      <c r="B7" s="1" t="n"/>
      <c r="C7" s="1" t="n"/>
      <c r="E7" s="1" t="n"/>
      <c r="F7" s="1" t="n"/>
      <c r="G7" s="1" t="n"/>
      <c r="H7" s="1" t="n"/>
    </row>
    <row r="8">
      <c r="A8" s="34" t="inlineStr">
        <is>
          <t>🚩Objetivo del mes: __________________</t>
        </is>
      </c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M8" s="27" t="inlineStr">
        <is>
          <t>🚀 FALTA PARA MI META</t>
        </is>
      </c>
      <c r="Q8" s="45">
        <f>IF(OR(Q4="",Q4=0),"",IF(Q6&gt;=Q4,"META ALCANZADA",Q4-Q6))</f>
        <v/>
      </c>
    </row>
    <row r="9">
      <c r="A9" s="27" t="n"/>
      <c r="B9" s="27" t="n"/>
      <c r="C9" s="27" t="n"/>
      <c r="E9" s="1" t="n"/>
      <c r="F9" s="1" t="n"/>
      <c r="G9" s="1" t="n"/>
      <c r="H9" s="1" t="n"/>
    </row>
    <row r="10">
      <c r="A10" s="27" t="inlineStr">
        <is>
          <t>💜 La constancia de hoy construye los resultados de mañana.</t>
        </is>
      </c>
    </row>
    <row r="11">
      <c r="A11" s="1" t="n"/>
      <c r="B11" s="2" t="n"/>
      <c r="C11" s="1" t="n"/>
      <c r="D11" s="1" t="n"/>
      <c r="E11" s="1" t="n"/>
      <c r="F11" s="1" t="n"/>
      <c r="G11" s="1" t="n"/>
      <c r="H11" s="1" t="n"/>
    </row>
    <row r="12" ht="23.4" customHeight="1">
      <c r="A12" s="29" t="inlineStr">
        <is>
          <t xml:space="preserve">📅 PLAN DE ACTIVIDADES SEMANA 1 </t>
        </is>
      </c>
      <c r="M12" s="29" t="inlineStr">
        <is>
          <t>💰 REGISTRO DE INGRESOS</t>
        </is>
      </c>
    </row>
    <row r="13" ht="6.6" customHeight="1" thickBot="1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M13" s="1" t="n"/>
      <c r="N13" s="1" t="n"/>
      <c r="O13" s="1" t="n"/>
      <c r="P13" s="1" t="n"/>
      <c r="Q13" s="1" t="n"/>
      <c r="R13" s="1" t="n"/>
    </row>
    <row r="14">
      <c r="A14" s="11" t="inlineStr">
        <is>
          <t>ACTIVIDAD</t>
        </is>
      </c>
      <c r="B14" s="12" t="inlineStr">
        <is>
          <t>L</t>
        </is>
      </c>
      <c r="C14" s="12" t="inlineStr">
        <is>
          <t>M</t>
        </is>
      </c>
      <c r="D14" s="12" t="inlineStr">
        <is>
          <t>M</t>
        </is>
      </c>
      <c r="E14" s="12" t="inlineStr">
        <is>
          <t>J</t>
        </is>
      </c>
      <c r="F14" s="12" t="inlineStr">
        <is>
          <t>V</t>
        </is>
      </c>
      <c r="G14" s="12" t="inlineStr">
        <is>
          <t>S</t>
        </is>
      </c>
      <c r="H14" s="12" t="inlineStr">
        <is>
          <t>D</t>
        </is>
      </c>
      <c r="I14" s="12" t="inlineStr">
        <is>
          <t>%</t>
        </is>
      </c>
      <c r="J14" s="13" t="inlineStr">
        <is>
          <t xml:space="preserve">Estado </t>
        </is>
      </c>
      <c r="M14" s="4" t="inlineStr">
        <is>
          <t>Fecha</t>
        </is>
      </c>
      <c r="N14" s="4" t="inlineStr">
        <is>
          <t>Tipo</t>
        </is>
      </c>
      <c r="O14" s="4" t="inlineStr">
        <is>
          <t>Detalle</t>
        </is>
      </c>
      <c r="P14" s="17" t="inlineStr">
        <is>
          <t>Cantidad</t>
        </is>
      </c>
      <c r="Q14" s="17" t="inlineStr">
        <is>
          <t>Valor unitario</t>
        </is>
      </c>
      <c r="R14" s="17" t="inlineStr">
        <is>
          <t>Total</t>
        </is>
      </c>
    </row>
    <row r="15" ht="18" customHeight="1">
      <c r="A15" s="39" t="inlineStr">
        <is>
          <t>Publicar 6 Estados de WhatsApp</t>
        </is>
      </c>
      <c r="B15" s="18" t="n"/>
      <c r="C15" s="19" t="n"/>
      <c r="D15" s="19" t="n"/>
      <c r="E15" s="19" t="n"/>
      <c r="F15" s="19" t="n"/>
      <c r="G15" s="19" t="n"/>
      <c r="H15" s="19" t="n"/>
      <c r="I15" s="9">
        <f>COUNTIF(B15:H15,"X")/7</f>
        <v/>
      </c>
      <c r="J15" s="14">
        <f>IF(I15=0%,"PENDIENTE",IF(I15=100%,"COMPLETADA","EN PROGRESO"))</f>
        <v/>
      </c>
      <c r="M15" s="22" t="n"/>
      <c r="N15" s="23" t="n"/>
      <c r="O15" s="23" t="n"/>
      <c r="P15" s="23" t="n"/>
      <c r="Q15" s="40" t="n"/>
      <c r="R15" s="41">
        <f>IF(OR(P15="",Q15=""),"",P15*Q15)</f>
        <v/>
      </c>
    </row>
    <row r="16" ht="19.8" customHeight="1">
      <c r="A16" s="39" t="inlineStr">
        <is>
          <t>Publicar 3 veces en TikTok</t>
        </is>
      </c>
      <c r="B16" s="19" t="n"/>
      <c r="C16" s="19" t="n"/>
      <c r="D16" s="19" t="n"/>
      <c r="E16" s="19" t="n"/>
      <c r="F16" s="19" t="n"/>
      <c r="G16" s="19" t="n"/>
      <c r="H16" s="19" t="n"/>
      <c r="I16" s="9">
        <f>COUNTIF(B16:H16,"X")/7</f>
        <v/>
      </c>
      <c r="J16" s="14">
        <f>IF(I16=0%,"PENDIENTE",IF(I16=100%,"COMPLETADA","EN PROGRESO"))</f>
        <v/>
      </c>
      <c r="M16" s="22" t="n"/>
      <c r="N16" s="23" t="n"/>
      <c r="O16" s="23" t="n"/>
      <c r="P16" s="23" t="n"/>
      <c r="Q16" s="40" t="n"/>
      <c r="R16" s="41">
        <f>IF(OR(P16="",Q16=""),"",P16*Q16)</f>
        <v/>
      </c>
    </row>
    <row r="17" ht="19.8" customHeight="1">
      <c r="A17" s="39" t="inlineStr">
        <is>
          <t>Publicar 5 en Facebook</t>
        </is>
      </c>
      <c r="B17" s="19" t="n"/>
      <c r="C17" s="19" t="n"/>
      <c r="D17" s="19" t="n"/>
      <c r="E17" s="19" t="n"/>
      <c r="F17" s="19" t="n"/>
      <c r="G17" s="19" t="n"/>
      <c r="H17" s="19" t="n"/>
      <c r="I17" s="9">
        <f>COUNTIF(B17:H17,"X")/7</f>
        <v/>
      </c>
      <c r="J17" s="14">
        <f>IF(I17=0%,"PENDIENTE",IF(I17=100%,"COMPLETADA","EN PROGRESO"))</f>
        <v/>
      </c>
      <c r="M17" s="22" t="n"/>
      <c r="N17" s="23" t="n"/>
      <c r="O17" s="23" t="n"/>
      <c r="P17" s="23" t="n"/>
      <c r="Q17" s="40" t="n"/>
      <c r="R17" s="41">
        <f>IF(OR(P17="",Q17=""),"",P17*Q17)</f>
        <v/>
      </c>
    </row>
    <row r="18" ht="20.4" customHeight="1">
      <c r="A18" s="39" t="inlineStr">
        <is>
          <t>Publicar en 5 Marketplace</t>
        </is>
      </c>
      <c r="B18" s="19" t="n"/>
      <c r="C18" s="19" t="n"/>
      <c r="D18" s="19" t="n"/>
      <c r="E18" s="19" t="n"/>
      <c r="F18" s="19" t="n"/>
      <c r="G18" s="19" t="n"/>
      <c r="H18" s="19" t="n"/>
      <c r="I18" s="9">
        <f>COUNTIF(B18:H18,"X")/7</f>
        <v/>
      </c>
      <c r="J18" s="14">
        <f>IF(I18=0%,"PENDIENTE",IF(I18=100%,"COMPLETADA","EN PROGRESO"))</f>
        <v/>
      </c>
      <c r="M18" s="22" t="n"/>
      <c r="N18" s="23" t="n"/>
      <c r="O18" s="23" t="n"/>
      <c r="P18" s="23" t="n"/>
      <c r="Q18" s="40" t="n"/>
      <c r="R18" s="41">
        <f>IF(OR(P18="",Q18=""),"",P18*Q18)</f>
        <v/>
      </c>
    </row>
    <row r="19" ht="19.8" customHeight="1">
      <c r="A19" s="39" t="inlineStr">
        <is>
          <t>Responder comentarios</t>
        </is>
      </c>
      <c r="B19" s="19" t="n"/>
      <c r="C19" s="19" t="n"/>
      <c r="D19" s="19" t="n"/>
      <c r="E19" s="19" t="n"/>
      <c r="F19" s="19" t="n"/>
      <c r="G19" s="19" t="n"/>
      <c r="H19" s="19" t="n"/>
      <c r="I19" s="9">
        <f>COUNTIF(B19:H19,"X")/7</f>
        <v/>
      </c>
      <c r="J19" s="14">
        <f>IF(I19=0%,"PENDIENTE",IF(I19=100%,"COMPLETADA","EN PROGRESO"))</f>
        <v/>
      </c>
      <c r="M19" s="22" t="n"/>
      <c r="N19" s="23" t="n"/>
      <c r="O19" s="23" t="n"/>
      <c r="P19" s="23" t="n"/>
      <c r="Q19" s="40" t="n"/>
      <c r="R19" s="41">
        <f>IF(OR(P19="",Q19=""),"",P19*Q19)</f>
        <v/>
      </c>
    </row>
    <row r="20" ht="21.6" customHeight="1">
      <c r="A20" s="39" t="inlineStr">
        <is>
          <t>Responder WhatsApp</t>
        </is>
      </c>
      <c r="B20" s="19" t="n"/>
      <c r="C20" s="19" t="n"/>
      <c r="D20" s="19" t="n"/>
      <c r="E20" s="19" t="n"/>
      <c r="F20" s="19" t="n"/>
      <c r="G20" s="19" t="n"/>
      <c r="H20" s="19" t="n"/>
      <c r="I20" s="9">
        <f>COUNTIF(B20:H20,"X")/7</f>
        <v/>
      </c>
      <c r="J20" s="14">
        <f>IF(I20=0%,"PENDIENTE",IF(I20=100%,"COMPLETADA","EN PROGRESO"))</f>
        <v/>
      </c>
      <c r="M20" s="22" t="n"/>
      <c r="N20" s="23" t="n"/>
      <c r="O20" s="23" t="n"/>
      <c r="P20" s="23" t="n"/>
      <c r="Q20" s="40" t="n"/>
      <c r="R20" s="41">
        <f>IF(OR(P20="",Q20=""),"",P20*Q20)</f>
        <v/>
      </c>
    </row>
    <row r="21" ht="22.2" customHeight="1">
      <c r="A21" s="39" t="inlineStr">
        <is>
          <t xml:space="preserve">Crear material para publicidad </t>
        </is>
      </c>
      <c r="B21" s="19" t="n"/>
      <c r="C21" s="19" t="n"/>
      <c r="D21" s="19" t="n"/>
      <c r="E21" s="19" t="n"/>
      <c r="F21" s="19" t="n"/>
      <c r="G21" s="19" t="n"/>
      <c r="H21" s="19" t="n"/>
      <c r="I21" s="9">
        <f>COUNTIF(B21:H21,"X")/7</f>
        <v/>
      </c>
      <c r="J21" s="14">
        <f>IF(I21=0%,"PENDIENTE",IF(I21=100%,"COMPLETADA","EN PROGRESO"))</f>
        <v/>
      </c>
      <c r="M21" s="22" t="n"/>
      <c r="N21" s="23" t="n"/>
      <c r="O21" s="23" t="n"/>
      <c r="P21" s="23" t="n"/>
      <c r="Q21" s="40" t="n"/>
      <c r="R21" s="41">
        <f>IF(OR(P21="",Q21=""),"",P21*Q21)</f>
        <v/>
      </c>
    </row>
    <row r="22" ht="22.8" customHeight="1">
      <c r="A22" s="39" t="inlineStr">
        <is>
          <t>Agregar minimo 50 personas en WhatsApp</t>
        </is>
      </c>
      <c r="B22" s="19" t="n"/>
      <c r="C22" s="19" t="n"/>
      <c r="D22" s="19" t="n"/>
      <c r="E22" s="19" t="n"/>
      <c r="F22" s="19" t="n"/>
      <c r="G22" s="19" t="n"/>
      <c r="H22" s="19" t="n"/>
      <c r="I22" s="9">
        <f>COUNTIF(B22:H22,"X")/7</f>
        <v/>
      </c>
      <c r="J22" s="14">
        <f>IF(I22=0%,"PENDIENTE",IF(I22=100%,"COMPLETADA","EN PROGRESO"))</f>
        <v/>
      </c>
      <c r="M22" s="22" t="n"/>
      <c r="N22" s="23" t="n"/>
      <c r="O22" s="23" t="n"/>
      <c r="P22" s="23" t="n"/>
      <c r="Q22" s="40" t="n"/>
      <c r="R22" s="41">
        <f>IF(OR(P22="",Q22=""),"",P22*Q22)</f>
        <v/>
      </c>
    </row>
    <row r="23" ht="19.8" customHeight="1">
      <c r="A23" s="39" t="inlineStr">
        <is>
          <t>Revisar material de capacitación</t>
        </is>
      </c>
      <c r="B23" s="19" t="n"/>
      <c r="C23" s="19" t="n"/>
      <c r="D23" s="19" t="n"/>
      <c r="E23" s="19" t="n"/>
      <c r="F23" s="19" t="n"/>
      <c r="G23" s="19" t="n"/>
      <c r="H23" s="19" t="n"/>
      <c r="I23" s="9">
        <f>COUNTIF(B23:H23,"X")/7</f>
        <v/>
      </c>
      <c r="J23" s="14">
        <f>IF(I23=0%,"PENDIENTE",IF(I23=100%,"COMPLETADA","EN PROGRESO"))</f>
        <v/>
      </c>
      <c r="M23" s="22" t="n"/>
      <c r="N23" s="23" t="n"/>
      <c r="O23" s="23" t="n"/>
      <c r="P23" s="23" t="n"/>
      <c r="Q23" s="40" t="n"/>
      <c r="R23" s="41">
        <f>IF(OR(P23="",Q23=""),"",P23*Q23)</f>
        <v/>
      </c>
    </row>
    <row r="24" ht="20.4" customHeight="1" thickBot="1">
      <c r="A24" s="42" t="inlineStr">
        <is>
          <t>Revisar metas del día</t>
        </is>
      </c>
      <c r="B24" s="20" t="n"/>
      <c r="C24" s="20" t="n"/>
      <c r="D24" s="20" t="n"/>
      <c r="E24" s="20" t="n"/>
      <c r="F24" s="20" t="n"/>
      <c r="G24" s="20" t="n"/>
      <c r="H24" s="20" t="n"/>
      <c r="I24" s="15">
        <f>COUNTIF(B24:H24,"X")/7</f>
        <v/>
      </c>
      <c r="J24" s="16">
        <f>IF(I24=0%,"PENDIENTE",IF(I24=100%,"COMPLETADA","EN PROGRESO"))</f>
        <v/>
      </c>
      <c r="M24" s="22" t="n"/>
      <c r="N24" s="23" t="n"/>
      <c r="O24" s="23" t="n"/>
      <c r="P24" s="23" t="n"/>
      <c r="Q24" s="40" t="n"/>
      <c r="R24" s="41">
        <f>IF(OR(P24="",Q24=""),"",P24*Q24)</f>
        <v/>
      </c>
    </row>
    <row r="25">
      <c r="M25" s="22" t="n"/>
      <c r="N25" s="23" t="n"/>
      <c r="O25" s="23" t="n"/>
      <c r="P25" s="23" t="n"/>
      <c r="Q25" s="40" t="n"/>
      <c r="R25" s="41">
        <f>IF(OR(P25="",Q25=""),"",P25*Q25)</f>
        <v/>
      </c>
    </row>
    <row r="26" ht="31.2" customHeight="1" thickBot="1">
      <c r="A26" s="30" t="inlineStr">
        <is>
          <t>📅 PLAN DE ACTIVIDADES SEMANA 2</t>
        </is>
      </c>
      <c r="M26" s="22" t="n"/>
      <c r="N26" s="23" t="n"/>
      <c r="O26" s="23" t="n"/>
      <c r="P26" s="23" t="n"/>
      <c r="Q26" s="40" t="n"/>
      <c r="R26" s="41">
        <f>IF(OR(P26="",Q26=""),"",P26*Q26)</f>
        <v/>
      </c>
    </row>
    <row r="27">
      <c r="A27" s="11" t="inlineStr">
        <is>
          <t>ACTIVIDAD</t>
        </is>
      </c>
      <c r="B27" s="12" t="inlineStr">
        <is>
          <t>L</t>
        </is>
      </c>
      <c r="C27" s="12" t="inlineStr">
        <is>
          <t>M</t>
        </is>
      </c>
      <c r="D27" s="12" t="inlineStr">
        <is>
          <t>M</t>
        </is>
      </c>
      <c r="E27" s="12" t="inlineStr">
        <is>
          <t>J</t>
        </is>
      </c>
      <c r="F27" s="12" t="inlineStr">
        <is>
          <t>V</t>
        </is>
      </c>
      <c r="G27" s="12" t="inlineStr">
        <is>
          <t>S</t>
        </is>
      </c>
      <c r="H27" s="12" t="inlineStr">
        <is>
          <t>D</t>
        </is>
      </c>
      <c r="I27" s="12" t="inlineStr">
        <is>
          <t>%</t>
        </is>
      </c>
      <c r="J27" s="13" t="inlineStr">
        <is>
          <t xml:space="preserve">Estado </t>
        </is>
      </c>
      <c r="M27" s="22" t="n"/>
      <c r="N27" s="23" t="n"/>
      <c r="O27" s="23" t="n"/>
      <c r="P27" s="23" t="n"/>
      <c r="Q27" s="40" t="n"/>
      <c r="R27" s="41">
        <f>IF(OR(P27="",Q27=""),"",P27*Q27)</f>
        <v/>
      </c>
    </row>
    <row r="28" ht="19.2" customHeight="1">
      <c r="A28" s="39" t="inlineStr">
        <is>
          <t>Publicar 6 Estados de WhatsApp</t>
        </is>
      </c>
      <c r="B28" s="18" t="n"/>
      <c r="C28" s="19" t="n"/>
      <c r="D28" s="19" t="n"/>
      <c r="E28" s="19" t="n"/>
      <c r="F28" s="19" t="n"/>
      <c r="G28" s="19" t="n"/>
      <c r="H28" s="19" t="n"/>
      <c r="I28" s="9">
        <f>COUNTIF(B28:H28,"X")/7</f>
        <v/>
      </c>
      <c r="J28" s="14">
        <f>IF(I28=0%,"PENDIENTE",IF(I28=100%,"COMPLETADA","EN PROGRESO"))</f>
        <v/>
      </c>
      <c r="M28" s="22" t="n"/>
      <c r="N28" s="23" t="n"/>
      <c r="O28" s="23" t="n"/>
      <c r="P28" s="23" t="n"/>
      <c r="Q28" s="40" t="n"/>
      <c r="R28" s="41">
        <f>IF(OR(P28="",Q28=""),"",P28*Q28)</f>
        <v/>
      </c>
    </row>
    <row r="29" ht="21.6" customHeight="1">
      <c r="A29" s="39" t="inlineStr">
        <is>
          <t>Publicar 3 veces en TikTok</t>
        </is>
      </c>
      <c r="B29" s="19" t="n"/>
      <c r="C29" s="19" t="n"/>
      <c r="D29" s="19" t="n"/>
      <c r="E29" s="19" t="n"/>
      <c r="F29" s="19" t="n"/>
      <c r="G29" s="19" t="n"/>
      <c r="H29" s="19" t="n"/>
      <c r="I29" s="9">
        <f>COUNTIF(B29:H29,"X")/7</f>
        <v/>
      </c>
      <c r="J29" s="14">
        <f>IF(I29=0%,"PENDIENTE",IF(I29=100%,"COMPLETADA","EN PROGRESO"))</f>
        <v/>
      </c>
      <c r="M29" s="22" t="n"/>
      <c r="N29" s="23" t="n"/>
      <c r="O29" s="23" t="n"/>
      <c r="P29" s="23" t="n"/>
      <c r="Q29" s="40" t="n"/>
      <c r="R29" s="41">
        <f>IF(OR(P29="",Q29=""),"",P29*Q29)</f>
        <v/>
      </c>
    </row>
    <row r="30" ht="22.2" customHeight="1">
      <c r="A30" s="39" t="inlineStr">
        <is>
          <t>Publicar 5 en Facebook</t>
        </is>
      </c>
      <c r="B30" s="19" t="n"/>
      <c r="C30" s="19" t="n"/>
      <c r="D30" s="19" t="n"/>
      <c r="E30" s="19" t="n"/>
      <c r="F30" s="19" t="n"/>
      <c r="G30" s="19" t="n"/>
      <c r="H30" s="19" t="n"/>
      <c r="I30" s="9">
        <f>COUNTIF(B30:H30,"X")/7</f>
        <v/>
      </c>
      <c r="J30" s="14">
        <f>IF(I30=0%,"PENDIENTE",IF(I30=100%,"COMPLETADA","EN PROGRESO"))</f>
        <v/>
      </c>
      <c r="M30" s="22" t="n"/>
      <c r="N30" s="23" t="n"/>
      <c r="O30" s="23" t="n"/>
      <c r="P30" s="23" t="n"/>
      <c r="Q30" s="40" t="n"/>
      <c r="R30" s="41">
        <f>IF(OR(P30="",Q30=""),"",P30*Q30)</f>
        <v/>
      </c>
    </row>
    <row r="31" ht="21" customHeight="1">
      <c r="A31" s="39" t="inlineStr">
        <is>
          <t>Publicar en 5 Marketplace</t>
        </is>
      </c>
      <c r="B31" s="19" t="n"/>
      <c r="C31" s="19" t="n"/>
      <c r="D31" s="19" t="n"/>
      <c r="E31" s="19" t="n"/>
      <c r="F31" s="19" t="n"/>
      <c r="G31" s="19" t="n"/>
      <c r="H31" s="19" t="n"/>
      <c r="I31" s="9">
        <f>COUNTIF(B31:H31,"X")/7</f>
        <v/>
      </c>
      <c r="J31" s="14">
        <f>IF(I31=0%,"PENDIENTE",IF(I31=100%,"COMPLETADA","EN PROGRESO"))</f>
        <v/>
      </c>
      <c r="M31" s="22" t="n"/>
      <c r="N31" s="23" t="n"/>
      <c r="O31" s="23" t="n"/>
      <c r="P31" s="23" t="n"/>
      <c r="Q31" s="40" t="n"/>
      <c r="R31" s="41">
        <f>IF(OR(P31="",Q31=""),"",P31*Q31)</f>
        <v/>
      </c>
    </row>
    <row r="32" ht="18.6" customHeight="1">
      <c r="A32" s="39" t="inlineStr">
        <is>
          <t>Responder comentarios</t>
        </is>
      </c>
      <c r="B32" s="19" t="n"/>
      <c r="C32" s="19" t="n"/>
      <c r="D32" s="19" t="n"/>
      <c r="E32" s="19" t="n"/>
      <c r="F32" s="19" t="n"/>
      <c r="G32" s="19" t="n"/>
      <c r="H32" s="19" t="n"/>
      <c r="I32" s="9">
        <f>COUNTIF(B32:H32,"X")/7</f>
        <v/>
      </c>
      <c r="J32" s="14">
        <f>IF(I32=0%,"PENDIENTE",IF(I32=100%,"COMPLETADA","EN PROGRESO"))</f>
        <v/>
      </c>
      <c r="M32" s="22" t="n"/>
      <c r="N32" s="23" t="n"/>
      <c r="O32" s="23" t="n"/>
      <c r="P32" s="23" t="n"/>
      <c r="Q32" s="40" t="n"/>
      <c r="R32" s="41">
        <f>IF(OR(P32="",Q32=""),"",P32*Q32)</f>
        <v/>
      </c>
    </row>
    <row r="33" ht="18.6" customHeight="1">
      <c r="A33" s="39" t="inlineStr">
        <is>
          <t>Responder WhatsApp</t>
        </is>
      </c>
      <c r="B33" s="19" t="n"/>
      <c r="C33" s="19" t="n"/>
      <c r="D33" s="19" t="n"/>
      <c r="E33" s="19" t="n"/>
      <c r="F33" s="19" t="n"/>
      <c r="G33" s="19" t="n"/>
      <c r="H33" s="19" t="n"/>
      <c r="I33" s="9">
        <f>COUNTIF(B33:H33,"X")/7</f>
        <v/>
      </c>
      <c r="J33" s="14">
        <f>IF(I33=0%,"PENDIENTE",IF(I33=100%,"COMPLETADA","EN PROGRESO"))</f>
        <v/>
      </c>
      <c r="M33" s="22" t="n"/>
      <c r="N33" s="23" t="n"/>
      <c r="O33" s="23" t="n"/>
      <c r="P33" s="23" t="n"/>
      <c r="Q33" s="40" t="n"/>
      <c r="R33" s="41">
        <f>IF(OR(P33="",Q33=""),"",P33*Q33)</f>
        <v/>
      </c>
    </row>
    <row r="34" ht="22.2" customHeight="1">
      <c r="A34" s="39" t="inlineStr">
        <is>
          <t xml:space="preserve">Crear material para publicidad </t>
        </is>
      </c>
      <c r="B34" s="19" t="n"/>
      <c r="C34" s="19" t="n"/>
      <c r="D34" s="19" t="n"/>
      <c r="E34" s="19" t="n"/>
      <c r="F34" s="19" t="n"/>
      <c r="G34" s="19" t="n"/>
      <c r="H34" s="19" t="n"/>
      <c r="I34" s="9">
        <f>COUNTIF(B34:H34,"X")/7</f>
        <v/>
      </c>
      <c r="J34" s="14">
        <f>IF(I34=0%,"PENDIENTE",IF(I34=100%,"COMPLETADA","EN PROGRESO"))</f>
        <v/>
      </c>
      <c r="M34" s="22" t="n"/>
      <c r="N34" s="23" t="n"/>
      <c r="O34" s="23" t="n"/>
      <c r="P34" s="23" t="n"/>
      <c r="Q34" s="40" t="n"/>
      <c r="R34" s="41">
        <f>IF(OR(P34="",Q34=""),"",P34*Q34)</f>
        <v/>
      </c>
    </row>
    <row r="35" ht="22.2" customHeight="1">
      <c r="A35" s="39" t="inlineStr">
        <is>
          <t>Agregar minimo 50 personas en WhatsApp</t>
        </is>
      </c>
      <c r="B35" s="19" t="n"/>
      <c r="C35" s="19" t="n"/>
      <c r="D35" s="19" t="n"/>
      <c r="E35" s="19" t="n"/>
      <c r="F35" s="19" t="n"/>
      <c r="G35" s="19" t="n"/>
      <c r="H35" s="19" t="n"/>
      <c r="I35" s="9">
        <f>COUNTIF(B35:H35,"X")/7</f>
        <v/>
      </c>
      <c r="J35" s="14">
        <f>IF(I35=0%,"PENDIENTE",IF(I35=100%,"COMPLETADA","EN PROGRESO"))</f>
        <v/>
      </c>
      <c r="M35" s="22" t="n"/>
      <c r="N35" s="23" t="n"/>
      <c r="O35" s="23" t="n"/>
      <c r="P35" s="23" t="n"/>
      <c r="Q35" s="40" t="n"/>
      <c r="R35" s="41">
        <f>IF(OR(P35="",Q35=""),"",P35*Q35)</f>
        <v/>
      </c>
    </row>
    <row r="36" ht="18" customHeight="1">
      <c r="A36" s="39" t="inlineStr">
        <is>
          <t>Revisar material de capacitación</t>
        </is>
      </c>
      <c r="B36" s="19" t="n"/>
      <c r="C36" s="19" t="n"/>
      <c r="D36" s="19" t="n"/>
      <c r="E36" s="19" t="n"/>
      <c r="F36" s="19" t="n"/>
      <c r="G36" s="19" t="n"/>
      <c r="H36" s="19" t="n"/>
      <c r="I36" s="9">
        <f>COUNTIF(B36:H36,"X")/7</f>
        <v/>
      </c>
      <c r="J36" s="14">
        <f>IF(I36=0%,"PENDIENTE",IF(I36=100%,"COMPLETADA","EN PROGRESO"))</f>
        <v/>
      </c>
      <c r="M36" s="22" t="n"/>
      <c r="N36" s="23" t="n"/>
      <c r="O36" s="23" t="n"/>
      <c r="P36" s="23" t="n"/>
      <c r="Q36" s="40" t="n"/>
      <c r="R36" s="41">
        <f>IF(OR(P36="",Q36=""),"",P36*Q36)</f>
        <v/>
      </c>
    </row>
    <row r="37" ht="19.8" customHeight="1" thickBot="1">
      <c r="A37" s="42" t="inlineStr">
        <is>
          <t>Revisar metas del día</t>
        </is>
      </c>
      <c r="B37" s="20" t="n"/>
      <c r="C37" s="20" t="n"/>
      <c r="D37" s="20" t="n"/>
      <c r="E37" s="20" t="n"/>
      <c r="F37" s="20" t="n"/>
      <c r="G37" s="20" t="n"/>
      <c r="H37" s="20" t="n"/>
      <c r="I37" s="15">
        <f>COUNTIF(B37:H37,"X")/7</f>
        <v/>
      </c>
      <c r="J37" s="16">
        <f>IF(I37=0%,"PENDIENTE",IF(I37=100%,"COMPLETADA","EN PROGRESO"))</f>
        <v/>
      </c>
      <c r="M37" s="22" t="n"/>
      <c r="N37" s="23" t="n"/>
      <c r="O37" s="23" t="n"/>
      <c r="P37" s="23" t="n"/>
      <c r="Q37" s="40" t="n"/>
      <c r="R37" s="41">
        <f>IF(OR(P37="",Q37=""),"",P37*Q37)</f>
        <v/>
      </c>
    </row>
    <row r="38">
      <c r="M38" s="22" t="n"/>
      <c r="N38" s="23" t="n"/>
      <c r="O38" s="23" t="n"/>
      <c r="P38" s="23" t="n"/>
      <c r="Q38" s="40" t="n"/>
      <c r="R38" s="41">
        <f>IF(OR(P38="",Q38=""),"",P38*Q38)</f>
        <v/>
      </c>
    </row>
    <row r="39" ht="24" customHeight="1" thickBot="1">
      <c r="A39" s="30" t="inlineStr">
        <is>
          <t>📅 PLAN DE ACTIVIDADES SEMANA 3</t>
        </is>
      </c>
      <c r="M39" s="22" t="n"/>
      <c r="N39" s="23" t="n"/>
      <c r="O39" s="23" t="n"/>
      <c r="P39" s="23" t="n"/>
      <c r="Q39" s="40" t="n"/>
      <c r="R39" s="41">
        <f>IF(OR(P39="",Q39=""),"",P39*Q39)</f>
        <v/>
      </c>
    </row>
    <row r="40">
      <c r="A40" s="11" t="inlineStr">
        <is>
          <t>ACTIVIDAD</t>
        </is>
      </c>
      <c r="B40" s="12" t="inlineStr">
        <is>
          <t>L</t>
        </is>
      </c>
      <c r="C40" s="12" t="inlineStr">
        <is>
          <t>M</t>
        </is>
      </c>
      <c r="D40" s="12" t="inlineStr">
        <is>
          <t>M</t>
        </is>
      </c>
      <c r="E40" s="12" t="inlineStr">
        <is>
          <t>J</t>
        </is>
      </c>
      <c r="F40" s="12" t="inlineStr">
        <is>
          <t>V</t>
        </is>
      </c>
      <c r="G40" s="12" t="inlineStr">
        <is>
          <t>S</t>
        </is>
      </c>
      <c r="H40" s="12" t="inlineStr">
        <is>
          <t>D</t>
        </is>
      </c>
      <c r="I40" s="12" t="inlineStr">
        <is>
          <t>%</t>
        </is>
      </c>
      <c r="J40" s="13" t="inlineStr">
        <is>
          <t xml:space="preserve">Estado </t>
        </is>
      </c>
      <c r="M40" s="22" t="n"/>
      <c r="N40" s="23" t="n"/>
      <c r="O40" s="23" t="n"/>
      <c r="P40" s="23" t="n"/>
      <c r="Q40" s="40" t="n"/>
      <c r="R40" s="41">
        <f>IF(OR(P40="",Q40=""),"",P40*Q40)</f>
        <v/>
      </c>
    </row>
    <row r="41" ht="22.2" customHeight="1">
      <c r="A41" s="39" t="inlineStr">
        <is>
          <t>Publicar 6 Estados de WhatsApp</t>
        </is>
      </c>
      <c r="B41" s="18" t="n"/>
      <c r="C41" s="19" t="n"/>
      <c r="D41" s="19" t="n"/>
      <c r="E41" s="19" t="n"/>
      <c r="F41" s="19" t="n"/>
      <c r="G41" s="19" t="n"/>
      <c r="H41" s="19" t="n"/>
      <c r="I41" s="9">
        <f>COUNTIF(B41:H41,"X")/7</f>
        <v/>
      </c>
      <c r="J41" s="14">
        <f>IF(I41=0%,"PENDIENTE",IF(I41=100%,"COMPLETADA","EN PROGRESO"))</f>
        <v/>
      </c>
      <c r="M41" s="22" t="n"/>
      <c r="N41" s="23" t="n"/>
      <c r="O41" s="23" t="n"/>
      <c r="P41" s="23" t="n"/>
      <c r="Q41" s="40" t="n"/>
      <c r="R41" s="41">
        <f>IF(OR(P41="",Q41=""),"",P41*Q41)</f>
        <v/>
      </c>
    </row>
    <row r="42" ht="22.2" customHeight="1">
      <c r="A42" s="39" t="inlineStr">
        <is>
          <t>Publicar 3 veces en TikTok</t>
        </is>
      </c>
      <c r="B42" s="19" t="n"/>
      <c r="C42" s="19" t="n"/>
      <c r="D42" s="19" t="n"/>
      <c r="E42" s="19" t="n"/>
      <c r="F42" s="19" t="n"/>
      <c r="G42" s="19" t="n"/>
      <c r="H42" s="19" t="n"/>
      <c r="I42" s="9">
        <f>COUNTIF(B42:H42,"X")/7</f>
        <v/>
      </c>
      <c r="J42" s="14">
        <f>IF(I42=0%,"PENDIENTE",IF(I42=100%,"COMPLETADA","EN PROGRESO"))</f>
        <v/>
      </c>
      <c r="M42" s="22" t="n"/>
      <c r="N42" s="23" t="n"/>
      <c r="O42" s="23" t="n"/>
      <c r="P42" s="23" t="n"/>
      <c r="Q42" s="40" t="n"/>
      <c r="R42" s="41">
        <f>IF(OR(P42="",Q42=""),"",P42*Q42)</f>
        <v/>
      </c>
    </row>
    <row r="43" ht="21" customHeight="1">
      <c r="A43" s="39" t="inlineStr">
        <is>
          <t>Publicar 5 en Facebook</t>
        </is>
      </c>
      <c r="B43" s="19" t="n"/>
      <c r="C43" s="19" t="n"/>
      <c r="D43" s="19" t="n"/>
      <c r="E43" s="19" t="n"/>
      <c r="F43" s="19" t="n"/>
      <c r="G43" s="19" t="n"/>
      <c r="H43" s="19" t="n"/>
      <c r="I43" s="9">
        <f>COUNTIF(B43:H43,"X")/7</f>
        <v/>
      </c>
      <c r="J43" s="14">
        <f>IF(I43=0%,"PENDIENTE",IF(I43=100%,"COMPLETADA","EN PROGRESO"))</f>
        <v/>
      </c>
      <c r="M43" s="22" t="n"/>
      <c r="N43" s="23" t="n"/>
      <c r="O43" s="23" t="n"/>
      <c r="P43" s="23" t="n"/>
      <c r="Q43" s="40" t="n"/>
      <c r="R43" s="41">
        <f>IF(OR(P43="",Q43=""),"",P43*Q43)</f>
        <v/>
      </c>
    </row>
    <row r="44" ht="23.4" customHeight="1">
      <c r="A44" s="39" t="inlineStr">
        <is>
          <t>Publicar en 5 Marketplace</t>
        </is>
      </c>
      <c r="B44" s="19" t="n"/>
      <c r="C44" s="19" t="n"/>
      <c r="D44" s="19" t="n"/>
      <c r="E44" s="19" t="n"/>
      <c r="F44" s="19" t="n"/>
      <c r="G44" s="19" t="n"/>
      <c r="H44" s="19" t="n"/>
      <c r="I44" s="9">
        <f>COUNTIF(B44:H44,"X")/7</f>
        <v/>
      </c>
      <c r="J44" s="14">
        <f>IF(I44=0%,"PENDIENTE",IF(I44=100%,"COMPLETADA","EN PROGRESO"))</f>
        <v/>
      </c>
      <c r="M44" s="22" t="n"/>
      <c r="N44" s="23" t="n"/>
      <c r="O44" s="23" t="n"/>
      <c r="P44" s="23" t="n"/>
      <c r="Q44" s="40" t="n"/>
      <c r="R44" s="41">
        <f>IF(OR(P44="",Q44=""),"",P44*Q44)</f>
        <v/>
      </c>
    </row>
    <row r="45" ht="19.2" customHeight="1">
      <c r="A45" s="39" t="inlineStr">
        <is>
          <t>Responder comentarios</t>
        </is>
      </c>
      <c r="B45" s="19" t="n"/>
      <c r="C45" s="19" t="n"/>
      <c r="D45" s="19" t="n"/>
      <c r="E45" s="19" t="n"/>
      <c r="F45" s="19" t="n"/>
      <c r="G45" s="19" t="n"/>
      <c r="H45" s="19" t="n"/>
      <c r="I45" s="9">
        <f>COUNTIF(B45:H45,"X")/7</f>
        <v/>
      </c>
      <c r="J45" s="14">
        <f>IF(I45=0%,"PENDIENTE",IF(I45=100%,"COMPLETADA","EN PROGRESO"))</f>
        <v/>
      </c>
      <c r="M45" s="22" t="n"/>
      <c r="N45" s="23" t="n"/>
      <c r="O45" s="23" t="n"/>
      <c r="P45" s="23" t="n"/>
      <c r="Q45" s="40" t="n"/>
      <c r="R45" s="41">
        <f>IF(OR(P45="",Q45=""),"",P45*Q45)</f>
        <v/>
      </c>
    </row>
    <row r="46" ht="21" customHeight="1">
      <c r="A46" s="39" t="inlineStr">
        <is>
          <t>Responder WhatsApp</t>
        </is>
      </c>
      <c r="B46" s="19" t="n"/>
      <c r="C46" s="19" t="n"/>
      <c r="D46" s="19" t="n"/>
      <c r="E46" s="19" t="n"/>
      <c r="F46" s="19" t="n"/>
      <c r="G46" s="19" t="n"/>
      <c r="H46" s="19" t="n"/>
      <c r="I46" s="9">
        <f>COUNTIF(B46:H46,"X")/7</f>
        <v/>
      </c>
      <c r="J46" s="14">
        <f>IF(I46=0%,"PENDIENTE",IF(I46=100%,"COMPLETADA","EN PROGRESO"))</f>
        <v/>
      </c>
      <c r="M46" s="36" t="n"/>
      <c r="N46" s="36" t="n"/>
      <c r="O46" s="36" t="n"/>
      <c r="P46" s="36" t="n"/>
      <c r="Q46" s="36" t="n"/>
    </row>
    <row r="47" ht="21.6" customHeight="1">
      <c r="A47" s="39" t="inlineStr">
        <is>
          <t xml:space="preserve">Crear material para publicidad </t>
        </is>
      </c>
      <c r="B47" s="19" t="n"/>
      <c r="C47" s="19" t="n"/>
      <c r="D47" s="19" t="n"/>
      <c r="E47" s="19" t="n"/>
      <c r="F47" s="19" t="n"/>
      <c r="G47" s="19" t="n"/>
      <c r="H47" s="19" t="n"/>
      <c r="I47" s="9">
        <f>COUNTIF(B47:H47,"X")/7</f>
        <v/>
      </c>
      <c r="J47" s="14">
        <f>IF(I47=0%,"PENDIENTE",IF(I47=100%,"COMPLETADA","EN PROGRESO"))</f>
        <v/>
      </c>
      <c r="M47" s="36" t="n"/>
      <c r="N47" s="36" t="n"/>
      <c r="O47" s="36" t="n"/>
      <c r="P47" s="36" t="n"/>
      <c r="Q47" s="36" t="n"/>
    </row>
    <row r="48" ht="21" customHeight="1">
      <c r="A48" s="39" t="inlineStr">
        <is>
          <t>Agregar minimo 50 personas en WhatsApp</t>
        </is>
      </c>
      <c r="B48" s="19" t="n"/>
      <c r="C48" s="19" t="n"/>
      <c r="D48" s="19" t="n"/>
      <c r="E48" s="19" t="n"/>
      <c r="F48" s="19" t="n"/>
      <c r="G48" s="19" t="n"/>
      <c r="H48" s="19" t="n"/>
      <c r="I48" s="9">
        <f>COUNTIF(B48:H48,"X")/7</f>
        <v/>
      </c>
      <c r="J48" s="14">
        <f>IF(I48=0%,"PENDIENTE",IF(I48=100%,"COMPLETADA","EN PROGRESO"))</f>
        <v/>
      </c>
      <c r="M48" s="36" t="n"/>
      <c r="N48" s="36" t="n"/>
      <c r="O48" s="36" t="n"/>
      <c r="P48" s="36" t="n"/>
      <c r="Q48" s="36" t="n"/>
    </row>
    <row r="49" ht="18" customHeight="1">
      <c r="A49" s="39" t="inlineStr">
        <is>
          <t>Revisar material de capacitación</t>
        </is>
      </c>
      <c r="B49" s="19" t="n"/>
      <c r="C49" s="19" t="n"/>
      <c r="D49" s="19" t="n"/>
      <c r="E49" s="19" t="n"/>
      <c r="F49" s="19" t="n"/>
      <c r="G49" s="19" t="n"/>
      <c r="H49" s="19" t="n"/>
      <c r="I49" s="9">
        <f>COUNTIF(B49:H49,"X")/7</f>
        <v/>
      </c>
      <c r="J49" s="14">
        <f>IF(I49=0%,"PENDIENTE",IF(I49=100%,"COMPLETADA","EN PROGRESO"))</f>
        <v/>
      </c>
      <c r="M49" s="36" t="n"/>
      <c r="N49" s="36" t="n"/>
      <c r="O49" s="36" t="n"/>
      <c r="P49" s="36" t="n"/>
      <c r="Q49" s="36" t="n"/>
    </row>
    <row r="50" ht="20.4" customHeight="1" thickBot="1">
      <c r="A50" s="42" t="inlineStr">
        <is>
          <t>Revisar metas del día</t>
        </is>
      </c>
      <c r="B50" s="20" t="n"/>
      <c r="C50" s="20" t="n"/>
      <c r="D50" s="20" t="n"/>
      <c r="E50" s="20" t="n"/>
      <c r="F50" s="20" t="n"/>
      <c r="G50" s="20" t="n"/>
      <c r="H50" s="20" t="n"/>
      <c r="I50" s="15">
        <f>COUNTIF(B50:H50,"X")/7</f>
        <v/>
      </c>
      <c r="J50" s="16">
        <f>IF(I50=0%,"PENDIENTE",IF(I50=100%,"COMPLETADA","EN PROGRESO"))</f>
        <v/>
      </c>
      <c r="M50" s="36" t="n"/>
      <c r="N50" s="36" t="n"/>
      <c r="O50" s="36" t="n"/>
      <c r="P50" s="36" t="n"/>
      <c r="Q50" s="36" t="n"/>
    </row>
    <row r="51">
      <c r="M51" s="36" t="n"/>
      <c r="N51" s="36" t="n"/>
      <c r="O51" s="36" t="n"/>
      <c r="P51" s="36" t="n"/>
      <c r="Q51" s="36" t="n"/>
    </row>
    <row r="52" ht="24" customHeight="1" thickBot="1">
      <c r="A52" s="30" t="inlineStr">
        <is>
          <t>📅 PLAN DE ACTIVIDADES SEMANA 4</t>
        </is>
      </c>
      <c r="M52" s="36" t="n"/>
      <c r="N52" s="36" t="n"/>
      <c r="O52" s="36" t="n"/>
      <c r="P52" s="36" t="n"/>
      <c r="Q52" s="36" t="n"/>
    </row>
    <row r="53">
      <c r="A53" s="11" t="inlineStr">
        <is>
          <t>ACTIVIDAD</t>
        </is>
      </c>
      <c r="B53" s="12" t="inlineStr">
        <is>
          <t>L</t>
        </is>
      </c>
      <c r="C53" s="12" t="inlineStr">
        <is>
          <t>M</t>
        </is>
      </c>
      <c r="D53" s="12" t="inlineStr">
        <is>
          <t>M</t>
        </is>
      </c>
      <c r="E53" s="12" t="inlineStr">
        <is>
          <t>J</t>
        </is>
      </c>
      <c r="F53" s="12" t="inlineStr">
        <is>
          <t>V</t>
        </is>
      </c>
      <c r="G53" s="12" t="inlineStr">
        <is>
          <t>S</t>
        </is>
      </c>
      <c r="H53" s="12" t="inlineStr">
        <is>
          <t>D</t>
        </is>
      </c>
      <c r="I53" s="12" t="inlineStr">
        <is>
          <t>%</t>
        </is>
      </c>
      <c r="J53" s="13" t="inlineStr">
        <is>
          <t xml:space="preserve">Estado </t>
        </is>
      </c>
      <c r="M53" s="36" t="n"/>
      <c r="N53" s="36" t="n"/>
      <c r="O53" s="36" t="n"/>
      <c r="P53" s="36" t="n"/>
      <c r="Q53" s="36" t="n"/>
    </row>
    <row r="54" ht="18" customHeight="1">
      <c r="A54" s="39" t="inlineStr">
        <is>
          <t>Publicar 6 Estados de WhatsApp</t>
        </is>
      </c>
      <c r="B54" s="19" t="n"/>
      <c r="C54" s="19" t="n"/>
      <c r="D54" s="19" t="n"/>
      <c r="E54" s="19" t="n"/>
      <c r="F54" s="19" t="n"/>
      <c r="G54" s="19" t="n"/>
      <c r="H54" s="19" t="n"/>
      <c r="I54" s="9">
        <f>COUNTIF(B54:H54,"X")/7</f>
        <v/>
      </c>
      <c r="J54" s="14">
        <f>IF(I54=0%,"PENDIENTE",IF(I54=100%,"COMPLETADA","EN PROGRESO"))</f>
        <v/>
      </c>
      <c r="M54" s="36" t="n"/>
      <c r="N54" s="36" t="n"/>
      <c r="O54" s="36" t="n"/>
      <c r="P54" s="36" t="n"/>
      <c r="Q54" s="36" t="n"/>
    </row>
    <row r="55" ht="18.6" customHeight="1">
      <c r="A55" s="39" t="inlineStr">
        <is>
          <t>Publicar 3 veces en TikTok</t>
        </is>
      </c>
      <c r="B55" s="19" t="n"/>
      <c r="C55" s="19" t="n"/>
      <c r="D55" s="19" t="n"/>
      <c r="E55" s="19" t="n"/>
      <c r="F55" s="19" t="n"/>
      <c r="G55" s="19" t="n"/>
      <c r="H55" s="19" t="n"/>
      <c r="I55" s="9">
        <f>COUNTIF(B55:H55,"X")/7</f>
        <v/>
      </c>
      <c r="J55" s="14">
        <f>IF(I55=0%,"PENDIENTE",IF(I55=100%,"COMPLETADA","EN PROGRESO"))</f>
        <v/>
      </c>
      <c r="M55" s="36" t="n"/>
      <c r="N55" s="36" t="n"/>
      <c r="O55" s="36" t="n"/>
      <c r="P55" s="36" t="n"/>
      <c r="Q55" s="36" t="n"/>
    </row>
    <row r="56" ht="19.2" customHeight="1">
      <c r="A56" s="39" t="inlineStr">
        <is>
          <t>Publicar 5 en Facebook</t>
        </is>
      </c>
      <c r="B56" s="19" t="n"/>
      <c r="C56" s="19" t="n"/>
      <c r="D56" s="19" t="n"/>
      <c r="E56" s="19" t="n"/>
      <c r="F56" s="19" t="n"/>
      <c r="G56" s="19" t="n"/>
      <c r="H56" s="19" t="n"/>
      <c r="I56" s="9">
        <f>COUNTIF(B56:H56,"X")/7</f>
        <v/>
      </c>
      <c r="J56" s="14">
        <f>IF(I56=0%,"PENDIENTE",IF(I56=100%,"COMPLETADA","EN PROGRESO"))</f>
        <v/>
      </c>
      <c r="M56" s="36" t="n"/>
      <c r="N56" s="36" t="n"/>
      <c r="O56" s="36" t="n"/>
      <c r="P56" s="36" t="n"/>
      <c r="Q56" s="36" t="n"/>
    </row>
    <row r="57" ht="20.4" customHeight="1">
      <c r="A57" s="39" t="inlineStr">
        <is>
          <t>Publicar en 5 Marketplace</t>
        </is>
      </c>
      <c r="B57" s="19" t="n"/>
      <c r="C57" s="19" t="n"/>
      <c r="D57" s="19" t="n"/>
      <c r="E57" s="19" t="n"/>
      <c r="F57" s="19" t="n"/>
      <c r="G57" s="19" t="n"/>
      <c r="H57" s="19" t="n"/>
      <c r="I57" s="9">
        <f>COUNTIF(B57:H57,"X")/7</f>
        <v/>
      </c>
      <c r="J57" s="14">
        <f>IF(I57=0%,"PENDIENTE",IF(I57=100%,"COMPLETADA","EN PROGRESO"))</f>
        <v/>
      </c>
      <c r="M57" s="36" t="n"/>
      <c r="N57" s="36" t="n"/>
      <c r="O57" s="36" t="n"/>
      <c r="P57" s="36" t="n"/>
      <c r="Q57" s="36" t="n"/>
    </row>
    <row r="58" ht="19.8" customHeight="1">
      <c r="A58" s="39" t="inlineStr">
        <is>
          <t>Responder comentarios</t>
        </is>
      </c>
      <c r="B58" s="19" t="n"/>
      <c r="C58" s="19" t="n"/>
      <c r="D58" s="19" t="n"/>
      <c r="E58" s="19" t="n"/>
      <c r="F58" s="19" t="n"/>
      <c r="G58" s="19" t="n"/>
      <c r="H58" s="19" t="n"/>
      <c r="I58" s="9">
        <f>COUNTIF(B58:H58,"X")/7</f>
        <v/>
      </c>
      <c r="J58" s="14">
        <f>IF(I58=0%,"PENDIENTE",IF(I58=100%,"COMPLETADA","EN PROGRESO"))</f>
        <v/>
      </c>
      <c r="M58" s="36" t="n"/>
      <c r="N58" s="36" t="n"/>
      <c r="O58" s="36" t="n"/>
      <c r="P58" s="36" t="n"/>
      <c r="Q58" s="36" t="n"/>
    </row>
    <row r="59" ht="18.6" customHeight="1">
      <c r="A59" s="39" t="inlineStr">
        <is>
          <t>Responder WhatsApp</t>
        </is>
      </c>
      <c r="B59" s="19" t="n"/>
      <c r="C59" s="19" t="n"/>
      <c r="D59" s="19" t="n"/>
      <c r="E59" s="19" t="n"/>
      <c r="F59" s="19" t="n"/>
      <c r="G59" s="19" t="n"/>
      <c r="H59" s="19" t="n"/>
      <c r="I59" s="9">
        <f>COUNTIF(B59:H59,"X")/7</f>
        <v/>
      </c>
      <c r="J59" s="14">
        <f>IF(I59=0%,"PENDIENTE",IF(I59=100%,"COMPLETADA","EN PROGRESO"))</f>
        <v/>
      </c>
      <c r="M59" s="36" t="n"/>
      <c r="N59" s="36" t="n"/>
      <c r="O59" s="36" t="n"/>
      <c r="P59" s="36" t="n"/>
      <c r="Q59" s="36" t="n"/>
    </row>
    <row r="60" ht="18.6" customHeight="1">
      <c r="A60" s="39" t="inlineStr">
        <is>
          <t xml:space="preserve">Crear material para publicidad </t>
        </is>
      </c>
      <c r="B60" s="19" t="n"/>
      <c r="C60" s="19" t="n"/>
      <c r="D60" s="19" t="n"/>
      <c r="E60" s="19" t="n"/>
      <c r="F60" s="19" t="n"/>
      <c r="G60" s="19" t="n"/>
      <c r="H60" s="19" t="n"/>
      <c r="I60" s="9">
        <f>COUNTIF(B60:H60,"X")/7</f>
        <v/>
      </c>
      <c r="J60" s="14">
        <f>IF(I60=0%,"PENDIENTE",IF(I60=100%,"COMPLETADA","EN PROGRESO"))</f>
        <v/>
      </c>
      <c r="M60" s="36" t="n"/>
      <c r="N60" s="36" t="n"/>
      <c r="O60" s="36" t="n"/>
      <c r="P60" s="36" t="n"/>
      <c r="Q60" s="36" t="n"/>
    </row>
    <row r="61" ht="21" customHeight="1">
      <c r="A61" s="39" t="inlineStr">
        <is>
          <t>Agregar minimo 50 personas en WhatsApp</t>
        </is>
      </c>
      <c r="B61" s="19" t="n"/>
      <c r="C61" s="19" t="n"/>
      <c r="D61" s="19" t="n"/>
      <c r="E61" s="19" t="n"/>
      <c r="F61" s="19" t="n"/>
      <c r="G61" s="19" t="n"/>
      <c r="H61" s="19" t="n"/>
      <c r="I61" s="9">
        <f>COUNTIF(B61:H61,"X")/7</f>
        <v/>
      </c>
      <c r="J61" s="14">
        <f>IF(I61=0%,"PENDIENTE",IF(I61=100%,"COMPLETADA","EN PROGRESO"))</f>
        <v/>
      </c>
      <c r="M61" s="36" t="n"/>
      <c r="N61" s="36" t="n"/>
      <c r="O61" s="36" t="n"/>
      <c r="P61" s="36" t="n"/>
      <c r="Q61" s="36" t="n"/>
    </row>
    <row r="62" ht="18.6" customHeight="1">
      <c r="A62" s="39" t="inlineStr">
        <is>
          <t>Revisar material de capacitación</t>
        </is>
      </c>
      <c r="B62" s="19" t="n"/>
      <c r="C62" s="19" t="n"/>
      <c r="D62" s="19" t="n"/>
      <c r="E62" s="19" t="n"/>
      <c r="F62" s="19" t="n"/>
      <c r="G62" s="19" t="n"/>
      <c r="H62" s="19" t="n"/>
      <c r="I62" s="9">
        <f>COUNTIF(B62:H62,"X")/7</f>
        <v/>
      </c>
      <c r="J62" s="14">
        <f>IF(I62=0%,"PENDIENTE",IF(I62=100%,"COMPLETADA","EN PROGRESO"))</f>
        <v/>
      </c>
      <c r="M62" s="36" t="n"/>
      <c r="N62" s="36" t="n"/>
      <c r="O62" s="36" t="n"/>
      <c r="P62" s="36" t="n"/>
      <c r="Q62" s="36" t="n"/>
    </row>
    <row r="63" ht="19.2" customHeight="1" thickBot="1">
      <c r="A63" s="42" t="inlineStr">
        <is>
          <t>Revisar metas del día</t>
        </is>
      </c>
      <c r="B63" s="20" t="n"/>
      <c r="C63" s="20" t="n"/>
      <c r="D63" s="20" t="n"/>
      <c r="E63" s="20" t="n"/>
      <c r="F63" s="20" t="n"/>
      <c r="G63" s="20" t="n"/>
      <c r="H63" s="20" t="n"/>
      <c r="I63" s="15">
        <f>COUNTIF(B63:H63,"X")/7</f>
        <v/>
      </c>
      <c r="J63" s="16">
        <f>IF(I63=0%,"PENDIENTE",IF(I63=100%,"COMPLETADA","EN PROGRESO"))</f>
        <v/>
      </c>
      <c r="M63" s="36" t="n"/>
      <c r="N63" s="36" t="n"/>
      <c r="O63" s="36" t="n"/>
      <c r="P63" s="36" t="n"/>
      <c r="Q63" s="36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v+03eLSJy5oESARumoA/Xw==" formatRows="1" sort="1" spinCount="100000" hashValue="PAsmwtbFtMYhsTrFe3fTk1cGCOCVSKe6JPq6hpY4ZSYLIrb+apFcU6QBxl7yFhV8GB0XnAFL8NoPF1zZjZ8Qwg=="/>
  <mergeCells count="17">
    <mergeCell ref="M12:R12"/>
    <mergeCell ref="A1:J2"/>
    <mergeCell ref="A8:J8"/>
    <mergeCell ref="M8:P8"/>
    <mergeCell ref="A6:J6"/>
    <mergeCell ref="M1:R2"/>
    <mergeCell ref="M4:P4"/>
    <mergeCell ref="Q6:R6"/>
    <mergeCell ref="A39:J39"/>
    <mergeCell ref="A12:J12"/>
    <mergeCell ref="A4:J4"/>
    <mergeCell ref="M6:P6"/>
    <mergeCell ref="A26:J26"/>
    <mergeCell ref="A52:J52"/>
    <mergeCell ref="A10:J10"/>
    <mergeCell ref="Q4:R4"/>
    <mergeCell ref="Q8:R8"/>
  </mergeCells>
  <conditionalFormatting sqref="J15:J24">
    <cfRule type="expression" priority="10" dxfId="2">
      <formula>$J15="COMPLETADA"</formula>
    </cfRule>
    <cfRule type="expression" priority="11" dxfId="1">
      <formula>$J15="EN PROGRESO"</formula>
    </cfRule>
    <cfRule type="expression" priority="12" dxfId="0">
      <formula>$J15="PENDIENTE"</formula>
    </cfRule>
  </conditionalFormatting>
  <conditionalFormatting sqref="J28:J37">
    <cfRule type="expression" priority="7" dxfId="2">
      <formula>$J28="COMPLETADA"</formula>
    </cfRule>
    <cfRule type="expression" priority="8" dxfId="1">
      <formula>$J28="EN PROGRESO"</formula>
    </cfRule>
    <cfRule type="expression" priority="9" dxfId="0">
      <formula>$J28="PENDIENTE"</formula>
    </cfRule>
  </conditionalFormatting>
  <conditionalFormatting sqref="J41:J50">
    <cfRule type="expression" priority="4" dxfId="2">
      <formula>$J41="COMPLETADA"</formula>
    </cfRule>
    <cfRule type="expression" priority="5" dxfId="1">
      <formula>$J41="EN PROGRESO"</formula>
    </cfRule>
    <cfRule type="expression" priority="6" dxfId="0">
      <formula>$J41="PENDIENTE"</formula>
    </cfRule>
  </conditionalFormatting>
  <conditionalFormatting sqref="J54:J63">
    <cfRule type="expression" priority="1" dxfId="2">
      <formula>$J54="COMPLETADA"</formula>
    </cfRule>
    <cfRule type="expression" priority="2" dxfId="1">
      <formula>$J54="EN PROGRESO"</formula>
    </cfRule>
    <cfRule type="expression" priority="3" dxfId="0">
      <formula>$J54="PENDIENTE"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AC11"/>
  <sheetViews>
    <sheetView workbookViewId="0">
      <selection activeCell="B19" sqref="B19"/>
    </sheetView>
  </sheetViews>
  <sheetFormatPr baseColWidth="10" defaultRowHeight="14.4"/>
  <cols>
    <col width="35.6640625" bestFit="1" customWidth="1" min="1" max="1"/>
    <col width="11.21875" bestFit="1" customWidth="1" min="2" max="8"/>
  </cols>
  <sheetData>
    <row r="1">
      <c r="A1" s="7" t="inlineStr">
        <is>
          <t>ID</t>
        </is>
      </c>
      <c r="B1" s="7" t="inlineStr">
        <is>
          <t>L</t>
        </is>
      </c>
      <c r="C1" s="7" t="inlineStr">
        <is>
          <t>M</t>
        </is>
      </c>
      <c r="D1" s="7" t="inlineStr">
        <is>
          <t>M</t>
        </is>
      </c>
      <c r="E1" s="7" t="inlineStr">
        <is>
          <t>J</t>
        </is>
      </c>
      <c r="F1" s="7" t="inlineStr">
        <is>
          <t>V</t>
        </is>
      </c>
      <c r="G1" s="7" t="inlineStr">
        <is>
          <t>S</t>
        </is>
      </c>
      <c r="H1" s="7" t="inlineStr">
        <is>
          <t>D</t>
        </is>
      </c>
      <c r="I1" s="7" t="inlineStr">
        <is>
          <t>L</t>
        </is>
      </c>
      <c r="J1" s="7" t="inlineStr">
        <is>
          <t>M</t>
        </is>
      </c>
      <c r="K1" s="7" t="inlineStr">
        <is>
          <t>M</t>
        </is>
      </c>
      <c r="L1" s="7" t="inlineStr">
        <is>
          <t>J</t>
        </is>
      </c>
      <c r="M1" s="7" t="inlineStr">
        <is>
          <t>V</t>
        </is>
      </c>
      <c r="N1" s="7" t="inlineStr">
        <is>
          <t>S</t>
        </is>
      </c>
      <c r="O1" s="7" t="inlineStr">
        <is>
          <t>D</t>
        </is>
      </c>
      <c r="P1" s="7" t="inlineStr">
        <is>
          <t>L</t>
        </is>
      </c>
      <c r="Q1" s="7" t="inlineStr">
        <is>
          <t>M</t>
        </is>
      </c>
      <c r="R1" s="7" t="inlineStr">
        <is>
          <t>M</t>
        </is>
      </c>
      <c r="S1" s="7" t="inlineStr">
        <is>
          <t>J</t>
        </is>
      </c>
      <c r="T1" s="7" t="inlineStr">
        <is>
          <t>V</t>
        </is>
      </c>
      <c r="U1" s="7" t="inlineStr">
        <is>
          <t>S</t>
        </is>
      </c>
      <c r="V1" s="7" t="inlineStr">
        <is>
          <t>D</t>
        </is>
      </c>
      <c r="W1" s="7" t="inlineStr">
        <is>
          <t>L</t>
        </is>
      </c>
      <c r="X1" s="7" t="inlineStr">
        <is>
          <t>M</t>
        </is>
      </c>
      <c r="Y1" s="7" t="inlineStr">
        <is>
          <t>M</t>
        </is>
      </c>
      <c r="Z1" s="7" t="inlineStr">
        <is>
          <t>J</t>
        </is>
      </c>
      <c r="AA1" s="7" t="inlineStr">
        <is>
          <t>V</t>
        </is>
      </c>
      <c r="AB1" s="7" t="inlineStr">
        <is>
          <t>S</t>
        </is>
      </c>
      <c r="AC1" s="7" t="inlineStr">
        <is>
          <t>D</t>
        </is>
      </c>
    </row>
    <row r="2">
      <c r="A2" s="6" t="inlineStr">
        <is>
          <t>Publicar 6 Estados de WhatsApp</t>
        </is>
      </c>
      <c r="B2" s="5" t="b">
        <v>0</v>
      </c>
      <c r="C2" s="5" t="b">
        <v>0</v>
      </c>
      <c r="D2" s="5" t="b">
        <v>0</v>
      </c>
      <c r="E2" s="5" t="b">
        <v>0</v>
      </c>
      <c r="F2" s="5" t="b">
        <v>0</v>
      </c>
      <c r="G2" s="5" t="b">
        <v>0</v>
      </c>
      <c r="H2" s="5" t="b">
        <v>0</v>
      </c>
      <c r="I2" s="5" t="b">
        <v>0</v>
      </c>
      <c r="J2" s="5" t="b">
        <v>0</v>
      </c>
      <c r="K2" s="5" t="b">
        <v>0</v>
      </c>
      <c r="L2" s="5" t="b">
        <v>0</v>
      </c>
      <c r="M2" s="5" t="b">
        <v>0</v>
      </c>
      <c r="N2" s="5" t="b">
        <v>0</v>
      </c>
      <c r="O2" s="5" t="b">
        <v>0</v>
      </c>
      <c r="P2" s="5" t="b">
        <v>0</v>
      </c>
      <c r="Q2" s="5" t="b">
        <v>0</v>
      </c>
      <c r="R2" s="5" t="b">
        <v>0</v>
      </c>
      <c r="S2" s="5" t="b">
        <v>0</v>
      </c>
      <c r="T2" s="5" t="b">
        <v>0</v>
      </c>
      <c r="U2" s="5" t="b">
        <v>0</v>
      </c>
      <c r="V2" s="5" t="b">
        <v>0</v>
      </c>
      <c r="W2" s="5" t="b">
        <v>0</v>
      </c>
      <c r="X2" s="5" t="b">
        <v>0</v>
      </c>
      <c r="Y2" s="5" t="b">
        <v>0</v>
      </c>
      <c r="Z2" s="5" t="b">
        <v>0</v>
      </c>
      <c r="AA2" s="5" t="b">
        <v>0</v>
      </c>
      <c r="AB2" s="5" t="b">
        <v>0</v>
      </c>
      <c r="AC2" s="5" t="b">
        <v>0</v>
      </c>
    </row>
    <row r="3">
      <c r="A3" s="6" t="inlineStr">
        <is>
          <t>Publicar 3 veces en TikTok</t>
        </is>
      </c>
      <c r="B3" s="5" t="b">
        <v>0</v>
      </c>
      <c r="C3" s="5" t="b">
        <v>0</v>
      </c>
      <c r="D3" s="5" t="b">
        <v>0</v>
      </c>
      <c r="E3" s="5" t="b">
        <v>0</v>
      </c>
      <c r="F3" s="5" t="b">
        <v>0</v>
      </c>
      <c r="G3" s="5" t="b">
        <v>0</v>
      </c>
      <c r="H3" s="5" t="b">
        <v>0</v>
      </c>
      <c r="I3" s="5" t="b">
        <v>0</v>
      </c>
      <c r="J3" s="5" t="b">
        <v>0</v>
      </c>
      <c r="K3" s="5" t="b">
        <v>0</v>
      </c>
      <c r="L3" s="5" t="b">
        <v>0</v>
      </c>
      <c r="M3" s="5" t="b">
        <v>0</v>
      </c>
      <c r="N3" s="5" t="b">
        <v>0</v>
      </c>
      <c r="O3" s="5" t="b">
        <v>0</v>
      </c>
      <c r="P3" s="5" t="b">
        <v>0</v>
      </c>
      <c r="Q3" s="5" t="b">
        <v>0</v>
      </c>
      <c r="R3" s="5" t="b">
        <v>0</v>
      </c>
      <c r="S3" s="5" t="b">
        <v>0</v>
      </c>
      <c r="T3" s="5" t="b">
        <v>0</v>
      </c>
      <c r="U3" s="5" t="b">
        <v>0</v>
      </c>
      <c r="V3" s="5" t="b">
        <v>0</v>
      </c>
      <c r="W3" s="5" t="b">
        <v>0</v>
      </c>
      <c r="X3" s="5" t="b">
        <v>0</v>
      </c>
      <c r="Y3" s="5" t="b">
        <v>0</v>
      </c>
      <c r="Z3" s="5" t="b">
        <v>0</v>
      </c>
      <c r="AA3" s="5" t="b">
        <v>0</v>
      </c>
      <c r="AB3" s="5" t="b">
        <v>0</v>
      </c>
      <c r="AC3" s="5" t="b">
        <v>0</v>
      </c>
    </row>
    <row r="4">
      <c r="A4" s="6" t="inlineStr">
        <is>
          <t>Publicar 5 en Facebook</t>
        </is>
      </c>
      <c r="B4" s="5" t="b">
        <v>0</v>
      </c>
      <c r="C4" s="5" t="b">
        <v>0</v>
      </c>
      <c r="D4" s="5" t="b">
        <v>0</v>
      </c>
      <c r="E4" s="5" t="b">
        <v>0</v>
      </c>
      <c r="F4" s="5" t="b">
        <v>0</v>
      </c>
      <c r="G4" s="5" t="b">
        <v>0</v>
      </c>
      <c r="H4" s="5" t="b">
        <v>0</v>
      </c>
      <c r="I4" s="5" t="b">
        <v>0</v>
      </c>
      <c r="J4" s="5" t="b">
        <v>0</v>
      </c>
      <c r="K4" s="5" t="b">
        <v>0</v>
      </c>
      <c r="L4" s="5" t="b">
        <v>0</v>
      </c>
      <c r="M4" s="5" t="b">
        <v>0</v>
      </c>
      <c r="N4" s="5" t="b">
        <v>0</v>
      </c>
      <c r="O4" s="5" t="b">
        <v>0</v>
      </c>
      <c r="P4" s="5" t="b">
        <v>0</v>
      </c>
      <c r="Q4" s="5" t="b">
        <v>0</v>
      </c>
      <c r="R4" s="5" t="b">
        <v>0</v>
      </c>
      <c r="S4" s="5" t="b">
        <v>0</v>
      </c>
      <c r="T4" s="5" t="b">
        <v>0</v>
      </c>
      <c r="U4" s="5" t="b">
        <v>0</v>
      </c>
      <c r="V4" s="5" t="b">
        <v>0</v>
      </c>
      <c r="W4" s="5" t="b">
        <v>0</v>
      </c>
      <c r="X4" s="5" t="b">
        <v>0</v>
      </c>
      <c r="Y4" s="5" t="b">
        <v>0</v>
      </c>
      <c r="Z4" s="5" t="b">
        <v>0</v>
      </c>
      <c r="AA4" s="5" t="b">
        <v>0</v>
      </c>
      <c r="AB4" s="5" t="b">
        <v>0</v>
      </c>
      <c r="AC4" s="5" t="b">
        <v>0</v>
      </c>
    </row>
    <row r="5">
      <c r="A5" s="6" t="inlineStr">
        <is>
          <t>Publicar en 5 Marketplace</t>
        </is>
      </c>
      <c r="B5" s="5" t="b">
        <v>0</v>
      </c>
      <c r="C5" s="5" t="b">
        <v>0</v>
      </c>
      <c r="D5" s="5" t="b">
        <v>0</v>
      </c>
      <c r="E5" s="5" t="b">
        <v>0</v>
      </c>
      <c r="F5" s="5" t="b">
        <v>0</v>
      </c>
      <c r="G5" s="5" t="b">
        <v>0</v>
      </c>
      <c r="H5" s="5" t="b">
        <v>0</v>
      </c>
      <c r="I5" s="5" t="b">
        <v>0</v>
      </c>
      <c r="J5" s="5" t="b">
        <v>0</v>
      </c>
      <c r="K5" s="5" t="b">
        <v>0</v>
      </c>
      <c r="L5" s="5" t="b">
        <v>0</v>
      </c>
      <c r="M5" s="5" t="b">
        <v>0</v>
      </c>
      <c r="N5" s="5" t="b">
        <v>0</v>
      </c>
      <c r="O5" s="5" t="b">
        <v>0</v>
      </c>
      <c r="P5" s="5" t="b">
        <v>0</v>
      </c>
      <c r="Q5" s="5" t="b">
        <v>0</v>
      </c>
      <c r="R5" s="5" t="b">
        <v>0</v>
      </c>
      <c r="S5" s="5" t="b">
        <v>0</v>
      </c>
      <c r="T5" s="5" t="b">
        <v>0</v>
      </c>
      <c r="U5" s="5" t="b">
        <v>0</v>
      </c>
      <c r="V5" s="5" t="b">
        <v>0</v>
      </c>
      <c r="W5" s="5" t="b">
        <v>0</v>
      </c>
      <c r="X5" s="5" t="b">
        <v>0</v>
      </c>
      <c r="Y5" s="5" t="b">
        <v>0</v>
      </c>
      <c r="Z5" s="5" t="b">
        <v>0</v>
      </c>
      <c r="AA5" s="5" t="b">
        <v>0</v>
      </c>
      <c r="AB5" s="5" t="b">
        <v>0</v>
      </c>
      <c r="AC5" s="5" t="b">
        <v>0</v>
      </c>
    </row>
    <row r="6">
      <c r="A6" s="6" t="inlineStr">
        <is>
          <t>Responder comentarios</t>
        </is>
      </c>
      <c r="B6" s="5" t="b">
        <v>0</v>
      </c>
      <c r="C6" s="5" t="b">
        <v>0</v>
      </c>
      <c r="D6" s="5" t="b">
        <v>0</v>
      </c>
      <c r="E6" s="5" t="b">
        <v>0</v>
      </c>
      <c r="F6" s="5" t="b">
        <v>0</v>
      </c>
      <c r="G6" s="5" t="b">
        <v>0</v>
      </c>
      <c r="H6" s="5" t="b">
        <v>0</v>
      </c>
      <c r="I6" s="5" t="b">
        <v>0</v>
      </c>
      <c r="J6" s="5" t="b">
        <v>0</v>
      </c>
      <c r="K6" s="5" t="b">
        <v>0</v>
      </c>
      <c r="L6" s="5" t="b">
        <v>0</v>
      </c>
      <c r="M6" s="5" t="b">
        <v>0</v>
      </c>
      <c r="N6" s="5" t="b">
        <v>0</v>
      </c>
      <c r="O6" s="5" t="b">
        <v>0</v>
      </c>
      <c r="P6" s="5" t="b">
        <v>0</v>
      </c>
      <c r="Q6" s="5" t="b">
        <v>0</v>
      </c>
      <c r="R6" s="5" t="b">
        <v>0</v>
      </c>
      <c r="S6" s="5" t="b">
        <v>0</v>
      </c>
      <c r="T6" s="5" t="b">
        <v>0</v>
      </c>
      <c r="U6" s="5" t="b">
        <v>0</v>
      </c>
      <c r="V6" s="5" t="b">
        <v>0</v>
      </c>
      <c r="W6" s="5" t="b">
        <v>0</v>
      </c>
      <c r="X6" s="5" t="b">
        <v>0</v>
      </c>
      <c r="Y6" s="5" t="b">
        <v>0</v>
      </c>
      <c r="Z6" s="5" t="b">
        <v>0</v>
      </c>
      <c r="AA6" s="5" t="b">
        <v>0</v>
      </c>
      <c r="AB6" s="5" t="b">
        <v>0</v>
      </c>
      <c r="AC6" s="5" t="b">
        <v>0</v>
      </c>
    </row>
    <row r="7">
      <c r="A7" s="6" t="inlineStr">
        <is>
          <t>Responder WhatsApp</t>
        </is>
      </c>
      <c r="B7" s="5" t="b">
        <v>0</v>
      </c>
      <c r="C7" s="5" t="b">
        <v>0</v>
      </c>
      <c r="D7" s="5" t="b">
        <v>0</v>
      </c>
      <c r="E7" s="5" t="b">
        <v>0</v>
      </c>
      <c r="F7" s="5" t="b">
        <v>0</v>
      </c>
      <c r="G7" s="5" t="b">
        <v>0</v>
      </c>
      <c r="H7" s="5" t="b">
        <v>0</v>
      </c>
      <c r="I7" s="5" t="b">
        <v>0</v>
      </c>
      <c r="J7" s="5" t="b">
        <v>0</v>
      </c>
      <c r="K7" s="5" t="b">
        <v>0</v>
      </c>
      <c r="L7" s="5" t="b">
        <v>0</v>
      </c>
      <c r="M7" s="5" t="b">
        <v>0</v>
      </c>
      <c r="N7" s="5" t="b">
        <v>0</v>
      </c>
      <c r="O7" s="5" t="b">
        <v>0</v>
      </c>
      <c r="P7" s="5" t="b">
        <v>0</v>
      </c>
      <c r="Q7" s="5" t="b">
        <v>0</v>
      </c>
      <c r="R7" s="5" t="b">
        <v>0</v>
      </c>
      <c r="S7" s="5" t="b">
        <v>0</v>
      </c>
      <c r="T7" s="5" t="b">
        <v>0</v>
      </c>
      <c r="U7" s="5" t="b">
        <v>0</v>
      </c>
      <c r="V7" s="5" t="b">
        <v>0</v>
      </c>
      <c r="W7" s="5" t="b">
        <v>0</v>
      </c>
      <c r="X7" s="5" t="b">
        <v>0</v>
      </c>
      <c r="Y7" s="5" t="b">
        <v>0</v>
      </c>
      <c r="Z7" s="5" t="b">
        <v>0</v>
      </c>
      <c r="AA7" s="5" t="b">
        <v>0</v>
      </c>
      <c r="AB7" s="5" t="b">
        <v>0</v>
      </c>
      <c r="AC7" s="5" t="b">
        <v>0</v>
      </c>
    </row>
    <row r="8">
      <c r="A8" s="6" t="inlineStr">
        <is>
          <t xml:space="preserve">Crear material para publicidad </t>
        </is>
      </c>
      <c r="B8" s="5" t="b">
        <v>0</v>
      </c>
      <c r="C8" s="5" t="b">
        <v>0</v>
      </c>
      <c r="D8" s="5" t="b">
        <v>0</v>
      </c>
      <c r="E8" s="5" t="b">
        <v>0</v>
      </c>
      <c r="F8" s="5" t="b">
        <v>0</v>
      </c>
      <c r="G8" s="5" t="b">
        <v>0</v>
      </c>
      <c r="H8" s="5" t="b">
        <v>0</v>
      </c>
      <c r="I8" s="5" t="b">
        <v>0</v>
      </c>
      <c r="J8" s="5" t="b">
        <v>0</v>
      </c>
      <c r="K8" s="5" t="b">
        <v>0</v>
      </c>
      <c r="L8" s="5" t="b">
        <v>0</v>
      </c>
      <c r="M8" s="5" t="b">
        <v>0</v>
      </c>
      <c r="N8" s="5" t="b">
        <v>0</v>
      </c>
      <c r="O8" s="5" t="b">
        <v>0</v>
      </c>
      <c r="P8" s="5" t="b">
        <v>0</v>
      </c>
      <c r="Q8" s="5" t="b">
        <v>0</v>
      </c>
      <c r="R8" s="5" t="b">
        <v>0</v>
      </c>
      <c r="S8" s="5" t="b">
        <v>0</v>
      </c>
      <c r="T8" s="5" t="b">
        <v>0</v>
      </c>
      <c r="U8" s="5" t="b">
        <v>0</v>
      </c>
      <c r="V8" s="5" t="b">
        <v>0</v>
      </c>
      <c r="W8" s="5" t="b">
        <v>0</v>
      </c>
      <c r="X8" s="5" t="b">
        <v>0</v>
      </c>
      <c r="Y8" s="5" t="b">
        <v>0</v>
      </c>
      <c r="Z8" s="5" t="b">
        <v>0</v>
      </c>
      <c r="AA8" s="5" t="b">
        <v>0</v>
      </c>
      <c r="AB8" s="5" t="b">
        <v>0</v>
      </c>
      <c r="AC8" s="5" t="b">
        <v>0</v>
      </c>
    </row>
    <row r="9">
      <c r="A9" s="6" t="inlineStr">
        <is>
          <t>Agregar minimo 50 personas en WhatsApp</t>
        </is>
      </c>
      <c r="B9" s="5" t="b">
        <v>0</v>
      </c>
      <c r="C9" s="5" t="b">
        <v>0</v>
      </c>
      <c r="D9" s="5" t="b">
        <v>0</v>
      </c>
      <c r="E9" s="5" t="b">
        <v>0</v>
      </c>
      <c r="F9" s="5" t="b">
        <v>0</v>
      </c>
      <c r="G9" s="5" t="b">
        <v>0</v>
      </c>
      <c r="H9" s="5" t="b">
        <v>0</v>
      </c>
      <c r="I9" s="5" t="b">
        <v>0</v>
      </c>
      <c r="J9" s="5" t="b">
        <v>0</v>
      </c>
      <c r="K9" s="5" t="b">
        <v>0</v>
      </c>
      <c r="L9" s="5" t="b">
        <v>0</v>
      </c>
      <c r="M9" s="5" t="b">
        <v>0</v>
      </c>
      <c r="N9" s="5" t="b">
        <v>0</v>
      </c>
      <c r="O9" s="5" t="b">
        <v>0</v>
      </c>
      <c r="P9" s="5" t="b">
        <v>0</v>
      </c>
      <c r="Q9" s="5" t="b">
        <v>0</v>
      </c>
      <c r="R9" s="5" t="b">
        <v>0</v>
      </c>
      <c r="S9" s="5" t="b">
        <v>0</v>
      </c>
      <c r="T9" s="5" t="b">
        <v>0</v>
      </c>
      <c r="U9" s="5" t="b">
        <v>0</v>
      </c>
      <c r="V9" s="5" t="b">
        <v>0</v>
      </c>
      <c r="W9" s="5" t="b">
        <v>0</v>
      </c>
      <c r="X9" s="5" t="b">
        <v>0</v>
      </c>
      <c r="Y9" s="5" t="b">
        <v>0</v>
      </c>
      <c r="Z9" s="5" t="b">
        <v>0</v>
      </c>
      <c r="AA9" s="5" t="b">
        <v>0</v>
      </c>
      <c r="AB9" s="5" t="b">
        <v>0</v>
      </c>
      <c r="AC9" s="5" t="b">
        <v>0</v>
      </c>
    </row>
    <row r="10">
      <c r="A10" s="6" t="inlineStr">
        <is>
          <t>Revisar material de capacitación</t>
        </is>
      </c>
      <c r="B10" s="5" t="b">
        <v>0</v>
      </c>
      <c r="C10" s="5" t="b">
        <v>0</v>
      </c>
      <c r="D10" s="5" t="b">
        <v>0</v>
      </c>
      <c r="E10" s="5" t="b">
        <v>0</v>
      </c>
      <c r="F10" s="5" t="b">
        <v>0</v>
      </c>
      <c r="G10" s="5" t="b">
        <v>0</v>
      </c>
      <c r="H10" s="5" t="b">
        <v>0</v>
      </c>
      <c r="I10" s="5" t="b">
        <v>0</v>
      </c>
      <c r="J10" s="5" t="b">
        <v>0</v>
      </c>
      <c r="K10" s="5" t="b">
        <v>0</v>
      </c>
      <c r="L10" s="5" t="b">
        <v>0</v>
      </c>
      <c r="M10" s="5" t="b">
        <v>0</v>
      </c>
      <c r="N10" s="5" t="b">
        <v>0</v>
      </c>
      <c r="O10" s="5" t="b">
        <v>0</v>
      </c>
      <c r="P10" s="5" t="b">
        <v>0</v>
      </c>
      <c r="Q10" s="5" t="b">
        <v>0</v>
      </c>
      <c r="R10" s="5" t="b">
        <v>0</v>
      </c>
      <c r="S10" s="5" t="b">
        <v>0</v>
      </c>
      <c r="T10" s="5" t="b">
        <v>0</v>
      </c>
      <c r="U10" s="5" t="b">
        <v>0</v>
      </c>
      <c r="V10" s="5" t="b">
        <v>0</v>
      </c>
      <c r="W10" s="5" t="b">
        <v>0</v>
      </c>
      <c r="X10" s="5" t="b">
        <v>0</v>
      </c>
      <c r="Y10" s="5" t="b">
        <v>0</v>
      </c>
      <c r="Z10" s="5" t="b">
        <v>0</v>
      </c>
      <c r="AA10" s="5" t="b">
        <v>0</v>
      </c>
      <c r="AB10" s="5" t="b">
        <v>0</v>
      </c>
      <c r="AC10" s="5" t="b">
        <v>0</v>
      </c>
    </row>
    <row r="11">
      <c r="A11" s="6" t="inlineStr">
        <is>
          <t>Revisar metas del día</t>
        </is>
      </c>
      <c r="B11" s="5" t="b">
        <v>0</v>
      </c>
      <c r="C11" s="5" t="b">
        <v>0</v>
      </c>
      <c r="D11" s="5" t="b">
        <v>0</v>
      </c>
      <c r="E11" s="5" t="b">
        <v>0</v>
      </c>
      <c r="F11" s="5" t="b">
        <v>0</v>
      </c>
      <c r="G11" s="5" t="b">
        <v>0</v>
      </c>
      <c r="H11" s="5" t="b">
        <v>0</v>
      </c>
      <c r="I11" s="5" t="b">
        <v>0</v>
      </c>
      <c r="J11" s="5" t="b">
        <v>0</v>
      </c>
      <c r="K11" s="5" t="b">
        <v>0</v>
      </c>
      <c r="L11" s="5" t="b">
        <v>0</v>
      </c>
      <c r="M11" s="5" t="b">
        <v>0</v>
      </c>
      <c r="N11" s="5" t="b">
        <v>0</v>
      </c>
      <c r="O11" s="5" t="b">
        <v>0</v>
      </c>
      <c r="P11" s="5" t="b">
        <v>0</v>
      </c>
      <c r="Q11" s="5" t="b">
        <v>0</v>
      </c>
      <c r="R11" s="5" t="b">
        <v>0</v>
      </c>
      <c r="S11" s="5" t="b">
        <v>0</v>
      </c>
      <c r="T11" s="5" t="b">
        <v>0</v>
      </c>
      <c r="U11" s="5" t="b">
        <v>0</v>
      </c>
      <c r="V11" s="5" t="b">
        <v>0</v>
      </c>
      <c r="W11" s="5" t="b">
        <v>0</v>
      </c>
      <c r="X11" s="5" t="b">
        <v>0</v>
      </c>
      <c r="Y11" s="5" t="b">
        <v>0</v>
      </c>
      <c r="Z11" s="5" t="b">
        <v>0</v>
      </c>
      <c r="AA11" s="5" t="b">
        <v>0</v>
      </c>
      <c r="AB11" s="5" t="b">
        <v>0</v>
      </c>
      <c r="AC11" s="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Julieth Olaya</dc:creator>
  <dcterms:created xmlns:dcterms="http://purl.org/dc/terms/" xmlns:xsi="http://www.w3.org/2001/XMLSchema-instance" xsi:type="dcterms:W3CDTF">2026-08-07T20:14:37Z</dcterms:created>
  <dcterms:modified xmlns:dcterms="http://purl.org/dc/terms/" xmlns:xsi="http://www.w3.org/2001/XMLSchema-instance" xsi:type="dcterms:W3CDTF">2026-08-11T18:23:27Z</dcterms:modified>
  <cp:lastModifiedBy>Julieth Olaya</cp:lastModifiedBy>
</cp:coreProperties>
</file>